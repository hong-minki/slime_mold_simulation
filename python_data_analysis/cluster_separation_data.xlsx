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\C++\slime_mold_simulation\slime_mold_simulation\python_data_analysis\"/>
    </mc:Choice>
  </mc:AlternateContent>
  <xr:revisionPtr revIDLastSave="0" documentId="13_ncr:1_{C7B58F09-BA62-4BDA-A167-8E17B8C8C3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5" i="1"/>
  <c r="E6" i="1"/>
  <c r="E7" i="1"/>
  <c r="E10" i="1"/>
  <c r="E11" i="1"/>
  <c r="E2" i="1"/>
  <c r="D3" i="1"/>
  <c r="D4" i="1"/>
  <c r="E4" i="1" s="1"/>
  <c r="D5" i="1"/>
  <c r="D6" i="1"/>
  <c r="D7" i="1"/>
  <c r="D9" i="1"/>
  <c r="E9" i="1" s="1"/>
  <c r="D10" i="1"/>
  <c r="D11" i="1"/>
  <c r="D2" i="1"/>
</calcChain>
</file>

<file path=xl/sharedStrings.xml><?xml version="1.0" encoding="utf-8"?>
<sst xmlns="http://schemas.openxmlformats.org/spreadsheetml/2006/main" count="5" uniqueCount="5">
  <si>
    <t>f_max</t>
  </si>
  <si>
    <t>f_max err</t>
  </si>
  <si>
    <t>D_chem</t>
  </si>
  <si>
    <t>lambda_max</t>
  </si>
  <si>
    <t>lambda_max_err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</si>
</sst>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8" sqref="A8:E8"/>
    </sheetView>
  </sheetViews>
  <sheetFormatPr defaultRowHeight="14.5" x14ac:dyDescent="0.35"/>
  <sheetData>
    <row r="1" spans="1:5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5">
      <c r="A2">
        <v>16</v>
      </c>
      <c r="B2">
        <v>0.31017603066104799</v>
      </c>
      <c r="C2">
        <v>0.119649733541942</v>
      </c>
      <c r="D2">
        <f>(1/B2)</f>
        <v>3.2239757465101264</v>
      </c>
      <c r="E2">
        <f>D2*(C2/B2)</f>
        <v>1.243641677255052</v>
      </c>
    </row>
    <row r="3" spans="1:5" x14ac:dyDescent="0.35">
      <c r="A3">
        <v>21.33</v>
      </c>
      <c r="B3">
        <v>0.301877638247322</v>
      </c>
      <c r="C3">
        <v>7.2994480903860195E-2</v>
      </c>
      <c r="D3">
        <f t="shared" ref="D3:D11" si="0">(1/B3)</f>
        <v>3.3126004489962289</v>
      </c>
      <c r="E3">
        <f t="shared" ref="E3:E11" si="1">D3*(C3/B3)</f>
        <v>0.80099192381474449</v>
      </c>
    </row>
    <row r="4" spans="1:5" x14ac:dyDescent="0.35">
      <c r="A4">
        <v>26.67</v>
      </c>
      <c r="B4">
        <v>0.28598118250821702</v>
      </c>
      <c r="C4">
        <v>4.62037868052083E-2</v>
      </c>
      <c r="D4">
        <f t="shared" si="0"/>
        <v>3.4967335655774039</v>
      </c>
      <c r="E4">
        <f t="shared" si="1"/>
        <v>0.56494042986171689</v>
      </c>
    </row>
    <row r="5" spans="1:5" x14ac:dyDescent="0.35">
      <c r="A5">
        <v>32</v>
      </c>
      <c r="B5">
        <v>0.28210310876248601</v>
      </c>
      <c r="C5">
        <v>6.5976966114875302E-2</v>
      </c>
      <c r="D5">
        <f t="shared" si="0"/>
        <v>3.5448031905310917</v>
      </c>
      <c r="E5">
        <f t="shared" si="1"/>
        <v>0.82904212226346219</v>
      </c>
    </row>
    <row r="6" spans="1:5" x14ac:dyDescent="0.35">
      <c r="A6">
        <v>37.340000000000003</v>
      </c>
      <c r="B6">
        <v>0.27109268630576899</v>
      </c>
      <c r="C6">
        <v>5.8745002622009802E-2</v>
      </c>
      <c r="D6">
        <f t="shared" si="0"/>
        <v>3.688775280614125</v>
      </c>
      <c r="E6">
        <f t="shared" si="1"/>
        <v>0.79934695577610015</v>
      </c>
    </row>
    <row r="7" spans="1:5" x14ac:dyDescent="0.35">
      <c r="A7">
        <v>42.67</v>
      </c>
      <c r="B7">
        <v>0.28420762159271001</v>
      </c>
      <c r="C7">
        <v>0.10224130800009899</v>
      </c>
      <c r="D7">
        <f t="shared" si="0"/>
        <v>3.5185544792780821</v>
      </c>
      <c r="E7">
        <f t="shared" si="1"/>
        <v>1.265770461098098</v>
      </c>
    </row>
    <row r="9" spans="1:5" x14ac:dyDescent="0.35">
      <c r="A9">
        <v>53.33</v>
      </c>
      <c r="B9">
        <v>0.26752119723461998</v>
      </c>
      <c r="C9">
        <v>9.3745620070422003E-2</v>
      </c>
      <c r="D9">
        <f t="shared" si="0"/>
        <v>3.7380215487110933</v>
      </c>
      <c r="E9">
        <f t="shared" si="1"/>
        <v>1.309889278094081</v>
      </c>
    </row>
    <row r="10" spans="1:5" x14ac:dyDescent="0.35">
      <c r="A10">
        <v>58.67</v>
      </c>
      <c r="B10">
        <v>0.25779386681891903</v>
      </c>
      <c r="C10">
        <v>4.70049124609681E-2</v>
      </c>
      <c r="D10">
        <f t="shared" si="0"/>
        <v>3.8790682351742118</v>
      </c>
      <c r="E10">
        <f t="shared" si="1"/>
        <v>0.70729092617460432</v>
      </c>
    </row>
    <row r="11" spans="1:5" x14ac:dyDescent="0.35">
      <c r="A11">
        <v>64</v>
      </c>
      <c r="B11">
        <v>0.24855185846740399</v>
      </c>
      <c r="C11">
        <v>1.3168185645348E-2</v>
      </c>
      <c r="D11">
        <f t="shared" si="0"/>
        <v>4.0233052617916503</v>
      </c>
      <c r="E11">
        <f t="shared" si="1"/>
        <v>0.2131532265413571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 Hing</dc:creator>
  <cp:lastModifiedBy>Min Hong</cp:lastModifiedBy>
  <dcterms:created xsi:type="dcterms:W3CDTF">2015-06-05T18:19:34Z</dcterms:created>
  <dcterms:modified xsi:type="dcterms:W3CDTF">2026-09-22T05:15:12Z</dcterms:modified>
</cp:coreProperties>
</file>